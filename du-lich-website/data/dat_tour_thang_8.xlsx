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8_{C8F28E38-4169-4EE6-8310-5E1C0B9C9F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Tour" sheetId="1" r:id="rId1"/>
    <sheet name="Tour" sheetId="2" r:id="rId2"/>
  </sheets>
  <definedNames>
    <definedName name="_xlnm._FilterDatabase" localSheetId="0" hidden="1">DatTour!$A$1:$G$16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<sst xmlns="http://schemas.openxmlformats.org/spreadsheetml/2006/main" count="69" uniqueCount="51">
  <si>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ma_dtour</t>
  </si>
  <si>
    <t>ngay_khoi_hanh</t>
  </si>
  <si>
    <t>ma_tour</t>
  </si>
  <si>
    <t>so_khach</t>
  </si>
  <si>
    <t>ten_tour</t>
  </si>
  <si>
    <t>gia_tour</t>
  </si>
  <si>
    <t>tong_gia_tour</t>
  </si>
  <si>
    <t>DTR001</t>
  </si>
  <si>
    <t>2026-08-01</t>
  </si>
  <si>
    <t>HL01</t>
  </si>
  <si>
    <t>DTR002</t>
  </si>
  <si>
    <t>2026-08-02</t>
  </si>
  <si>
    <t>NB01</t>
  </si>
  <si>
    <t>DTR003</t>
  </si>
  <si>
    <t>2026-08-03</t>
  </si>
  <si>
    <t>MC01</t>
  </si>
  <si>
    <t>DTR004</t>
  </si>
  <si>
    <t>2026-08-04</t>
  </si>
  <si>
    <t>DTR005</t>
  </si>
  <si>
    <t>2026-08-05</t>
  </si>
  <si>
    <t>DN01</t>
  </si>
  <si>
    <t>DTR006</t>
  </si>
  <si>
    <t>2026-08-06</t>
  </si>
  <si>
    <t>DTR007</t>
  </si>
  <si>
    <t>2026-08-07</t>
  </si>
  <si>
    <t>BV01</t>
  </si>
  <si>
    <t>DTR008</t>
  </si>
  <si>
    <t>2026-08-08</t>
  </si>
  <si>
    <t>DTR009</t>
  </si>
  <si>
    <t>2026-08-09</t>
  </si>
  <si>
    <t>PQ01</t>
  </si>
  <si>
    <t>DTR010</t>
  </si>
  <si>
    <t>2026-08-10</t>
  </si>
  <si>
    <t>SP01</t>
  </si>
  <si>
    <t>DTR011</t>
  </si>
  <si>
    <t>2026-08-11</t>
  </si>
  <si>
    <t>DTR012</t>
  </si>
  <si>
    <t>2026-08-12</t>
  </si>
  <si>
    <t>DTR013</t>
  </si>
  <si>
    <t>2026-08-13</t>
  </si>
  <si>
    <t>DTR014</t>
  </si>
  <si>
    <t>2026-08-14</t>
  </si>
  <si>
    <t>DTR015</t>
  </si>
  <si>
    <t>2026-08-15</t>
  </si>
  <si>
    <t>Ha Long 2 ngay</t>
  </si>
  <si>
    <t>Sa Pa 3 ngay</t>
  </si>
  <si>
    <t>Ninh Binh 1 ngay</t>
  </si>
  <si>
    <t>Da Nang 4 ngay</t>
  </si>
  <si>
    <t>Phu Quoc 3 ngay</t>
  </si>
  <si>
    <t>Mai Chau 2 ngay</t>
  </si>
  <si>
    <t>Ba Vi 1 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</si>
</sst>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" sqref="G1"/>
    </sheetView>
  </sheetViews>
  <sheetFormatPr defaultRowHeight="15"/>
  <cols>
    <col min="1" max="4" width="15" customWidth="1"/>
    <col min="5" max="5" width="17" customWidth="1"/>
    <col min="6" max="6" width="16.140625" customWidth="1"/>
    <col min="7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VLOOKUP(C2, Tour!$A$1:$C$8, 2,0)</f>
        <v>Ha Long 2 ngay</v>
      </c>
      <c r="F2">
        <f>VLOOKUP(C2, Tour!$A$1:$C$8, 3,0)</f>
        <v>2200000</v>
      </c>
      <c r="G2">
        <f>D2*F2</f>
        <v>6600000</v>
      </c>
    </row>
    <row r="3" spans="1:7" hidden="1">
      <c r="A3" t="s">
        <v>10</v>
      </c>
      <c r="B3" t="s">
        <v>11</v>
      </c>
      <c r="C3" t="s">
        <v>12</v>
      </c>
      <c r="D3">
        <v>4</v>
      </c>
      <c r="E3" t="str">
        <f>VLOOKUP(C3, Tour!$A$1:$C$8, 2,0)</f>
        <v>Ninh Binh 1 ngay</v>
      </c>
      <c r="F3">
        <f>VLOOKUP(C3, Tour!$A$1:$C$8, 3,0)</f>
        <v>900000</v>
      </c>
      <c r="G3">
        <f t="shared" ref="G3:G16" si="0">D3*F3</f>
        <v>3600000</v>
      </c>
    </row>
    <row r="4" spans="1:7" hidden="1">
      <c r="A4" t="s">
        <v>13</v>
      </c>
      <c r="B4" t="s">
        <v>14</v>
      </c>
      <c r="C4" t="s">
        <v>15</v>
      </c>
      <c r="D4">
        <v>2</v>
      </c>
      <c r="E4" t="str">
        <f>VLOOKUP(C4, Tour!$A$1:$C$8, 2,0)</f>
        <v>Mai Chau 2 ngay</v>
      </c>
      <c r="F4">
        <f>VLOOKUP(C4, Tour!$A$1:$C$8, 3,0)</f>
        <v>1800000</v>
      </c>
      <c r="G4">
        <f t="shared" si="0"/>
        <v>3600000</v>
      </c>
    </row>
    <row r="5" spans="1:7">
      <c r="A5" t="s">
        <v>16</v>
      </c>
      <c r="B5" t="s">
        <v>17</v>
      </c>
      <c r="C5" t="s">
        <v>15</v>
      </c>
      <c r="D5">
        <v>5</v>
      </c>
      <c r="E5" t="str">
        <f>VLOOKUP(C5, Tour!$A$1:$C$8, 2,0)</f>
        <v>Mai Chau 2 ngay</v>
      </c>
      <c r="F5">
        <f>VLOOKUP(C5, Tour!$A$1:$C$8, 3,0)</f>
        <v>1800000</v>
      </c>
      <c r="G5">
        <f t="shared" si="0"/>
        <v>9000000</v>
      </c>
    </row>
    <row r="6" spans="1:7">
      <c r="A6" t="s">
        <v>18</v>
      </c>
      <c r="B6" t="s">
        <v>19</v>
      </c>
      <c r="C6" t="s">
        <v>20</v>
      </c>
      <c r="D6">
        <v>2</v>
      </c>
      <c r="E6" t="str">
        <f>VLOOKUP(C6, Tour!$A$1:$C$8, 2,0)</f>
        <v>Da Nang 4 ngay</v>
      </c>
      <c r="F6">
        <f>VLOOKUP(C6, Tour!$A$1:$C$8, 3,0)</f>
        <v>5500000</v>
      </c>
      <c r="G6">
        <f t="shared" si="0"/>
        <v>11000000</v>
      </c>
    </row>
    <row r="7" spans="1:7">
      <c r="A7" t="s">
        <v>21</v>
      </c>
      <c r="B7" t="s">
        <v>22</v>
      </c>
      <c r="C7" t="s">
        <v>20</v>
      </c>
      <c r="D7">
        <v>2</v>
      </c>
      <c r="E7" t="str">
        <f>VLOOKUP(C7, Tour!$A$1:$C$8, 2,0)</f>
        <v>Da Nang 4 ngay</v>
      </c>
      <c r="F7">
        <f>VLOOKUP(C7, Tour!$A$1:$C$8, 3,0)</f>
        <v>5500000</v>
      </c>
      <c r="G7">
        <f t="shared" si="0"/>
        <v>11000000</v>
      </c>
    </row>
    <row r="8" spans="1:7" hidden="1">
      <c r="A8" t="s">
        <v>23</v>
      </c>
      <c r="B8" t="s">
        <v>24</v>
      </c>
      <c r="C8" t="s">
        <v>25</v>
      </c>
      <c r="D8">
        <v>5</v>
      </c>
      <c r="E8" t="str">
        <f>VLOOKUP(C8, Tour!$A$1:$C$8, 2,0)</f>
        <v>Ba Vi 1 ngay</v>
      </c>
      <c r="F8">
        <f>VLOOKUP(C8, Tour!$A$1:$C$8, 3,0)</f>
        <v>600000</v>
      </c>
      <c r="G8">
        <f t="shared" si="0"/>
        <v>3000000</v>
      </c>
    </row>
    <row r="9" spans="1:7" hidden="1">
      <c r="A9" t="s">
        <v>26</v>
      </c>
      <c r="B9" t="s">
        <v>27</v>
      </c>
      <c r="C9" t="s">
        <v>12</v>
      </c>
      <c r="D9">
        <v>1</v>
      </c>
      <c r="E9" t="str">
        <f>VLOOKUP(C9, Tour!$A$1:$C$8, 2,0)</f>
        <v>Ninh Binh 1 ngay</v>
      </c>
      <c r="F9">
        <f>VLOOKUP(C9, Tour!$A$1:$C$8, 3,0)</f>
        <v>900000</v>
      </c>
      <c r="G9">
        <f t="shared" si="0"/>
        <v>900000</v>
      </c>
    </row>
    <row r="10" spans="1:7">
      <c r="A10" t="s">
        <v>28</v>
      </c>
      <c r="B10" t="s">
        <v>29</v>
      </c>
      <c r="C10" t="s">
        <v>30</v>
      </c>
      <c r="D10">
        <v>5</v>
      </c>
      <c r="E10" t="str">
        <f>VLOOKUP(C10, Tour!$A$1:$C$8, 2,0)</f>
        <v>Phu Quoc 3 ngay</v>
      </c>
      <c r="F10">
        <f>VLOOKUP(C10, Tour!$A$1:$C$8, 3,0)</f>
        <v>6600000</v>
      </c>
      <c r="G10">
        <f t="shared" si="0"/>
        <v>33000000</v>
      </c>
    </row>
    <row r="11" spans="1:7">
      <c r="A11" t="s">
        <v>31</v>
      </c>
      <c r="B11" t="s">
        <v>32</v>
      </c>
      <c r="C11" t="s">
        <v>33</v>
      </c>
      <c r="D11">
        <v>3</v>
      </c>
      <c r="E11" t="str">
        <f>VLOOKUP(C11, Tour!$A$1:$C$8, 2,0)</f>
        <v>Sa Pa 3 ngay</v>
      </c>
      <c r="F11">
        <f>VLOOKUP(C11, Tour!$A$1:$C$8, 3,0)</f>
        <v>3300000</v>
      </c>
      <c r="G11">
        <f t="shared" si="0"/>
        <v>9900000</v>
      </c>
    </row>
    <row r="12" spans="1:7" hidden="1">
      <c r="A12" t="s">
        <v>34</v>
      </c>
      <c r="B12" t="s">
        <v>35</v>
      </c>
      <c r="C12" t="s">
        <v>15</v>
      </c>
      <c r="D12">
        <v>1</v>
      </c>
      <c r="E12" t="str">
        <f>VLOOKUP(C12, Tour!$A$1:$C$8, 2,0)</f>
        <v>Mai Chau 2 ngay</v>
      </c>
      <c r="F12">
        <f>VLOOKUP(C12, Tour!$A$1:$C$8, 3,0)</f>
        <v>1800000</v>
      </c>
      <c r="G12">
        <f t="shared" si="0"/>
        <v>1800000</v>
      </c>
    </row>
    <row r="13" spans="1:7" hidden="1">
      <c r="A13" t="s">
        <v>36</v>
      </c>
      <c r="B13" t="s">
        <v>37</v>
      </c>
      <c r="C13" t="s">
        <v>9</v>
      </c>
      <c r="D13">
        <v>2</v>
      </c>
      <c r="E13" t="str">
        <f>VLOOKUP(C13, Tour!$A$1:$C$8, 2,0)</f>
        <v>Ha Long 2 ngay</v>
      </c>
      <c r="F13">
        <f>VLOOKUP(C13, Tour!$A$1:$C$8, 3,0)</f>
        <v>2200000</v>
      </c>
      <c r="G13">
        <f t="shared" si="0"/>
        <v>4400000</v>
      </c>
    </row>
    <row r="14" spans="1:7" hidden="1">
      <c r="A14" t="s">
        <v>38</v>
      </c>
      <c r="B14" t="s">
        <v>39</v>
      </c>
      <c r="C14" t="s">
        <v>9</v>
      </c>
      <c r="D14">
        <v>1</v>
      </c>
      <c r="E14" t="str">
        <f>VLOOKUP(C14, Tour!$A$1:$C$8, 2,0)</f>
        <v>Ha Long 2 ngay</v>
      </c>
      <c r="F14">
        <f>VLOOKUP(C14, Tour!$A$1:$C$8, 3,0)</f>
        <v>2200000</v>
      </c>
      <c r="G14">
        <f t="shared" si="0"/>
        <v>2200000</v>
      </c>
    </row>
    <row r="15" spans="1:7">
      <c r="A15" t="s">
        <v>40</v>
      </c>
      <c r="B15" t="s">
        <v>41</v>
      </c>
      <c r="C15" t="s">
        <v>20</v>
      </c>
      <c r="D15">
        <v>4</v>
      </c>
      <c r="E15" t="str">
        <f>VLOOKUP(C15, Tour!$A$1:$C$8, 2,0)</f>
        <v>Da Nang 4 ngay</v>
      </c>
      <c r="F15">
        <f>VLOOKUP(C15, Tour!$A$1:$C$8, 3,0)</f>
        <v>5500000</v>
      </c>
      <c r="G15">
        <f t="shared" si="0"/>
        <v>22000000</v>
      </c>
    </row>
    <row r="16" spans="1:7">
      <c r="A16" t="s">
        <v>42</v>
      </c>
      <c r="B16" t="s">
        <v>43</v>
      </c>
      <c r="C16" t="s">
        <v>9</v>
      </c>
      <c r="D16">
        <v>5</v>
      </c>
      <c r="E16" t="str">
        <f>VLOOKUP(C16, Tour!$A$1:$C$8, 2,0)</f>
        <v>Ha Long 2 ngay</v>
      </c>
      <c r="F16">
        <f>VLOOKUP(C16, Tour!$A$1:$C$8, 3,0)</f>
        <v>2200000</v>
      </c>
      <c r="G16">
        <f t="shared" si="0"/>
        <v>11000000</v>
      </c>
    </row>
  </sheetData>
  <autoFilter ref="A1:G16" xr:uid="{00000000-0001-0000-0000-000000000000}">
    <filterColumn colId="6">
      <customFilters>
        <customFilter operator="greaterThanOrEqual" val="66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2200000</v>
      </c>
    </row>
    <row r="3" spans="1:3">
      <c r="A3" t="s">
        <v>33</v>
      </c>
      <c r="B3" t="s">
        <v>45</v>
      </c>
      <c r="C3">
        <v>3300000</v>
      </c>
    </row>
    <row r="4" spans="1:3">
      <c r="A4" t="s">
        <v>12</v>
      </c>
      <c r="B4" t="s">
        <v>46</v>
      </c>
      <c r="C4">
        <v>900000</v>
      </c>
    </row>
    <row r="5" spans="1:3">
      <c r="A5" t="s">
        <v>20</v>
      </c>
      <c r="B5" t="s">
        <v>47</v>
      </c>
      <c r="C5">
        <v>5500000</v>
      </c>
    </row>
    <row r="6" spans="1:3">
      <c r="A6" t="s">
        <v>30</v>
      </c>
      <c r="B6" t="s">
        <v>48</v>
      </c>
      <c r="C6">
        <v>6600000</v>
      </c>
    </row>
    <row r="7" spans="1:3">
      <c r="A7" t="s">
        <v>15</v>
      </c>
      <c r="B7" t="s">
        <v>49</v>
      </c>
      <c r="C7">
        <v>1800000</v>
      </c>
    </row>
    <row r="8" spans="1:3">
      <c r="A8" t="s">
        <v>25</v>
      </c>
      <c r="B8" t="s">
        <v>50</v>
      </c>
      <c r="C8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2026-10-27T01:32:35Z</dcterms:created>
  <dcterms:modified xsi:type="dcterms:W3CDTF">2026-10-28T04:44:05Z</dcterms:modified>
  <cp:category/>
  <cp:contentStatus/>
</cp:coreProperties>
</file>